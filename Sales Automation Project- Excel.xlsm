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ntegrichain-my.sharepoint.com/personal/stripathi_integrichain_com/Documents/Desktop/"/>
    </mc:Choice>
  </mc:AlternateContent>
  <xr:revisionPtr revIDLastSave="6" documentId="8_{16CB9146-94C8-426F-9189-9AF0C9A56DC3}" xr6:coauthVersionLast="47" xr6:coauthVersionMax="47" xr10:uidLastSave="{96388A97-5FAB-4873-A4DF-09A68ABB8221}"/>
  <bookViews>
    <workbookView minimized="1" xWindow="0" yWindow="3570" windowWidth="19200" windowHeight="6510" xr2:uid="{DF082D56-1CFF-44D6-A413-AE20655FC366}"/>
  </bookViews>
  <sheets>
    <sheet name="Clean_Data" sheetId="2" r:id="rId1"/>
    <sheet name="KPI" sheetId="5" r:id="rId2"/>
    <sheet name="Sales_data" sheetId="1" r:id="rId3"/>
  </sheets>
  <definedNames>
    <definedName name="ExternalData_1" localSheetId="0" hidden="1">Clean_Data!$A$1:$K$6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5" l="1"/>
  <c r="F4" i="5"/>
  <c r="D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297A8C-771D-4017-98BC-71D9BE2C1F20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<sst xmlns="http://schemas.openxmlformats.org/spreadsheetml/2006/main" count="87" uniqueCount="34">
  <si>
    <t>Order_ID</t>
  </si>
  <si>
    <t>Order_Date</t>
  </si>
  <si>
    <t>Region</t>
  </si>
  <si>
    <t>Sales_Rep</t>
  </si>
  <si>
    <t>Product</t>
  </si>
  <si>
    <t>Category</t>
  </si>
  <si>
    <t>Quantity</t>
  </si>
  <si>
    <t>Unit_Price</t>
  </si>
  <si>
    <t>Discount</t>
  </si>
  <si>
    <t>Payment_Mode</t>
  </si>
  <si>
    <t>North</t>
  </si>
  <si>
    <t>Amit</t>
  </si>
  <si>
    <t>Laptop</t>
  </si>
  <si>
    <t>Electronics</t>
  </si>
  <si>
    <t>Credit Card</t>
  </si>
  <si>
    <t>West</t>
  </si>
  <si>
    <t>Sneha</t>
  </si>
  <si>
    <t>Phone</t>
  </si>
  <si>
    <t>UPI</t>
  </si>
  <si>
    <t>East</t>
  </si>
  <si>
    <t>Rahul</t>
  </si>
  <si>
    <t>Chair</t>
  </si>
  <si>
    <t>Furniture</t>
  </si>
  <si>
    <t>Cash</t>
  </si>
  <si>
    <t>South</t>
  </si>
  <si>
    <t>Neha</t>
  </si>
  <si>
    <t>Table</t>
  </si>
  <si>
    <t>Aman</t>
  </si>
  <si>
    <t>Total Sales</t>
  </si>
  <si>
    <t>Total Orders</t>
  </si>
  <si>
    <t>Total Quantity sold</t>
  </si>
  <si>
    <t>Row Labels</t>
  </si>
  <si>
    <t>Grand Total</t>
  </si>
  <si>
    <t>Sum of 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</si>
</sst>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0" fontId="2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1" xfId="0" applyFont="1" applyBorder="1"/>
    <xf numFmtId="0" fontId="0" fillId="0" borderId="1" xfId="0" applyBorder="1"/>
    <xf numFmtId="0" fontId="3" fillId="0" borderId="1" xfId="0" applyFont="1" applyBorder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8">
    <dxf>
      <numFmt numFmtId="19" formatCode="m/d/yyyy"/>
    </dxf>
    <dxf>
      <alignment horizontal="general" vertical="center" textRotation="0" wrapText="0" indent="0" justifyLastLine="0" shrinkToFit="0" readingOrder="0"/>
    </dxf>
    <dxf>
      <numFmt numFmtId="13" formatCode="0%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7</xdr:row>
          <xdr:rowOff>0</xdr:rowOff>
        </xdr:from>
        <xdr:to>
          <xdr:col>6</xdr:col>
          <xdr:colOff>596900</xdr:colOff>
          <xdr:row>8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shi Tripathi" refreshedDate="46101.656556481481" createdVersion="8" refreshedVersion="8" minRefreshableVersion="3" recordCount="5" xr:uid="{C2F294BB-46D1-4B0D-BF03-79B0FD22A6B4}">
  <cacheSource type="worksheet">
    <worksheetSource name="Sales_Data"/>
  </cacheSource>
  <cacheFields count="11">
    <cacheField name="Order_ID" numFmtId="0">
      <sharedItems containsSemiMixedTypes="0" containsString="0" containsNumber="1" containsInteger="1" minValue="1001" maxValue="1005"/>
    </cacheField>
    <cacheField name="Order_Date" numFmtId="14">
      <sharedItems containsSemiMixedTypes="0" containsNonDate="0" containsDate="1" containsString="0" minDate="2024-01-01T00:00:00" maxDate="2024-10-02T00:00:00"/>
    </cacheField>
    <cacheField name="Region" numFmtId="0">
      <sharedItems count="4">
        <s v="North"/>
        <s v="West"/>
        <s v="East"/>
        <s v="South"/>
      </sharedItems>
    </cacheField>
    <cacheField name="Sales_Rep" numFmtId="0">
      <sharedItems/>
    </cacheField>
    <cacheField name="Product" numFmtId="0">
      <sharedItems/>
    </cacheField>
    <cacheField name="Category" numFmtId="0">
      <sharedItems/>
    </cacheField>
    <cacheField name="Quantity" numFmtId="0">
      <sharedItems containsSemiMixedTypes="0" containsString="0" containsNumber="1" containsInteger="1" minValue="1" maxValue="10"/>
    </cacheField>
    <cacheField name="Unit_Price" numFmtId="0">
      <sharedItems containsSemiMixedTypes="0" containsString="0" containsNumber="1" containsInteger="1" minValue="3000" maxValue="55000"/>
    </cacheField>
    <cacheField name="Discount" numFmtId="0">
      <sharedItems containsSemiMixedTypes="0" containsString="0" containsNumber="1" minValue="0" maxValue="0.1"/>
    </cacheField>
    <cacheField name="Payment_Mode" numFmtId="0">
      <sharedItems count="3">
        <s v="Credit Card"/>
        <s v="UPI"/>
        <s v="Cash"/>
      </sharedItems>
    </cacheField>
    <cacheField name="Total Sales" numFmtId="0">
      <sharedItems containsSemiMixedTypes="0" containsString="0" containsNumber="1" containsInteger="1" minValue="24000" maxValue="11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1001"/>
    <d v="2024-01-01T00:00:00"/>
    <x v="0"/>
    <s v="Amit"/>
    <s v="Laptop"/>
    <s v="Electronics"/>
    <n v="2"/>
    <n v="55000"/>
    <n v="0.05"/>
    <x v="0"/>
    <n v="110000"/>
  </r>
  <r>
    <n v="1002"/>
    <d v="2024-03-01T00:00:00"/>
    <x v="1"/>
    <s v="Sneha"/>
    <s v="Phone"/>
    <s v="Electronics"/>
    <n v="5"/>
    <n v="20000"/>
    <n v="0.1"/>
    <x v="1"/>
    <n v="100000"/>
  </r>
  <r>
    <n v="1003"/>
    <d v="2024-05-01T00:00:00"/>
    <x v="2"/>
    <s v="Rahul"/>
    <s v="Chair"/>
    <s v="Furniture"/>
    <n v="10"/>
    <n v="3000"/>
    <n v="0"/>
    <x v="2"/>
    <n v="30000"/>
  </r>
  <r>
    <n v="1004"/>
    <d v="2024-07-01T00:00:00"/>
    <x v="3"/>
    <s v="Neha"/>
    <s v="Table"/>
    <s v="Furniture"/>
    <n v="3"/>
    <n v="8000"/>
    <n v="0.08"/>
    <x v="0"/>
    <n v="24000"/>
  </r>
  <r>
    <n v="1005"/>
    <d v="2024-10-01T00:00:00"/>
    <x v="1"/>
    <s v="Aman"/>
    <s v="Laptop"/>
    <s v="Electronics"/>
    <n v="1"/>
    <n v="55000"/>
    <n v="0.05"/>
    <x v="1"/>
    <n v="5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93EE8-A998-4EBE-AF70-03C1601C94F0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7:E11" firstHeaderRow="1" firstDataRow="1" firstDataCol="1"/>
  <pivotFields count="11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  <pivotField dataField="1" showAll="0"/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 Sales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BB75DB-FB7A-4EF3-A967-3A4AEB085113}" name="PivotTable5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7:B12" firstHeaderRow="1" firstDataRow="1" firstDataCol="1"/>
  <pivotFields count="11">
    <pivotField showAll="0"/>
    <pivotField numFmtId="14"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Sales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A98986F-44BC-4861-BC78-567208D64626}" autoFormatId="16" applyNumberFormats="0" applyBorderFormats="0" applyFontFormats="0" applyPatternFormats="0" applyAlignmentFormats="0" applyWidthHeightFormats="0">
  <queryTableRefresh nextId="12">
    <queryTableFields count="11">
      <queryTableField id="1" name="Order_ID" tableColumnId="1"/>
      <queryTableField id="2" name="Order_Date" tableColumnId="2"/>
      <queryTableField id="3" name="Region" tableColumnId="3"/>
      <queryTableField id="4" name="Sales_Rep" tableColumnId="4"/>
      <queryTableField id="5" name="Product" tableColumnId="5"/>
      <queryTableField id="6" name="Category" tableColumnId="6"/>
      <queryTableField id="7" name="Quantity" tableColumnId="7"/>
      <queryTableField id="8" name="Unit_Price" tableColumnId="8"/>
      <queryTableField id="9" name="Discount" tableColumnId="9"/>
      <queryTableField id="10" name="Payment_Mode" tableColumnId="10"/>
      <queryTableField id="11" name="Total Sales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3BA06-C410-49CA-B9F0-5AA2E54AB1E8}" name="Sales_Data" displayName="Sales_Data" ref="A1:K6" tableType="queryTable" totalsRowShown="0">
  <autoFilter ref="A1:K6" xr:uid="{7AC3BA06-C410-49CA-B9F0-5AA2E54AB1E8}"/>
  <tableColumns count="11">
    <tableColumn id="1" xr3:uid="{D43B73DA-019F-4C12-9087-A9605B6969C6}" uniqueName="1" name="Order_ID" queryTableFieldId="1"/>
    <tableColumn id="2" xr3:uid="{5353AD92-33CE-49E5-AC3B-5BC352C385CB}" uniqueName="2" name="Order_Date" queryTableFieldId="2" dataDxfId="0"/>
    <tableColumn id="3" xr3:uid="{31368E92-B7E6-4735-88B4-E47E21D2C06D}" uniqueName="3" name="Region" queryTableFieldId="3" dataDxfId="17"/>
    <tableColumn id="4" xr3:uid="{B6CE35EE-DC0E-47D7-A4C8-98BF492E35D6}" uniqueName="4" name="Sales_Rep" queryTableFieldId="4" dataDxfId="16"/>
    <tableColumn id="5" xr3:uid="{CB60F2B5-2439-4D69-AA5B-43814E6F4A2B}" uniqueName="5" name="Product" queryTableFieldId="5" dataDxfId="15"/>
    <tableColumn id="6" xr3:uid="{DBE49CE3-B8EE-4CB0-8971-4DB4F2D6BBCE}" uniqueName="6" name="Category" queryTableFieldId="6" dataDxfId="14"/>
    <tableColumn id="7" xr3:uid="{E3FFC61F-319A-4E41-ACCB-EECCAE4DCB66}" uniqueName="7" name="Quantity" queryTableFieldId="7"/>
    <tableColumn id="8" xr3:uid="{BB3F25E0-E558-4601-846F-B68CDF70C730}" uniqueName="8" name="Unit_Price" queryTableFieldId="8"/>
    <tableColumn id="9" xr3:uid="{AD018E03-4B2F-4E5E-8EDB-6F0F34F7F25A}" uniqueName="9" name="Discount" queryTableFieldId="9"/>
    <tableColumn id="10" xr3:uid="{3CDA207C-2E4A-4230-BA21-668F2D2B8E28}" uniqueName="10" name="Payment_Mode" queryTableFieldId="10" dataDxfId="13"/>
    <tableColumn id="11" xr3:uid="{D34C1A60-8131-4028-82E2-58A59EA651CB}" uniqueName="11" name="Total Sale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2574E3-B3D1-4406-B5B8-CEE0989FB16F}" name="Table1" displayName="Table1" ref="A1:J6" totalsRowShown="0" headerRowDxfId="12" dataDxfId="11">
  <autoFilter ref="A1:J6" xr:uid="{7C2574E3-B3D1-4406-B5B8-CEE0989FB16F}"/>
  <tableColumns count="10">
    <tableColumn id="1" xr3:uid="{DC7F8049-DFB6-4AB0-BC8A-E0A41A468AD8}" name="Order_ID" dataDxfId="10"/>
    <tableColumn id="2" xr3:uid="{B83097A2-CA05-446F-B41F-A3B2B92ECEE3}" name="Order_Date" dataDxfId="9"/>
    <tableColumn id="3" xr3:uid="{C296E423-6935-40CE-987E-94229A5DB1D6}" name="Region" dataDxfId="8"/>
    <tableColumn id="4" xr3:uid="{4DCFA2C1-C9C1-4080-A6F0-6B1376216E12}" name="Sales_Rep" dataDxfId="7"/>
    <tableColumn id="5" xr3:uid="{08576A37-FBAE-44A7-9D91-9968FFBAD28A}" name="Product" dataDxfId="6"/>
    <tableColumn id="6" xr3:uid="{58CFB69A-6E43-4B69-98A0-34072B13C9D8}" name="Category" dataDxfId="5"/>
    <tableColumn id="7" xr3:uid="{BB26A334-C71F-4B17-A0CE-6696F05D3D0E}" name="Quantity" dataDxfId="4"/>
    <tableColumn id="8" xr3:uid="{2966A862-DBAC-4323-87E0-58C49958F836}" name="Unit_Price" dataDxfId="3"/>
    <tableColumn id="9" xr3:uid="{25E73181-5F4D-46A7-B290-296C4C7E393A}" name="Discount" dataDxfId="2"/>
    <tableColumn id="10" xr3:uid="{3BB3AE2D-A008-4856-B253-3C0C9BB113FA}" name="Payment_Mod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2C68C-5EF2-487D-B97B-C938A540A685}">
  <sheetPr codeName="Sheet1"/>
  <dimension ref="A1:K6"/>
  <sheetViews>
    <sheetView tabSelected="1" workbookViewId="0">
      <selection sqref="A1:K6"/>
    </sheetView>
  </sheetViews>
  <sheetFormatPr defaultRowHeight="14.5" x14ac:dyDescent="0.35"/>
  <cols>
    <col min="1" max="1" width="10.36328125" bestFit="1" customWidth="1"/>
    <col min="2" max="2" width="12.453125" bestFit="1" customWidth="1"/>
    <col min="3" max="3" width="8.81640625" bestFit="1" customWidth="1"/>
    <col min="4" max="4" width="11.7265625" bestFit="1" customWidth="1"/>
    <col min="5" max="5" width="9.6328125" bestFit="1" customWidth="1"/>
    <col min="6" max="6" width="10.453125" bestFit="1" customWidth="1"/>
    <col min="7" max="7" width="10.26953125" bestFit="1" customWidth="1"/>
    <col min="8" max="8" width="11.7265625" bestFit="1" customWidth="1"/>
    <col min="9" max="9" width="10.6328125" bestFit="1" customWidth="1"/>
    <col min="10" max="10" width="15.90625" bestFit="1" customWidth="1"/>
    <col min="11" max="11" width="12.0898437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28</v>
      </c>
    </row>
    <row r="2" spans="1:11" x14ac:dyDescent="0.35">
      <c r="A2">
        <v>1001</v>
      </c>
      <c r="B2" s="1">
        <v>45292</v>
      </c>
      <c r="C2" t="s">
        <v>10</v>
      </c>
      <c r="D2" t="s">
        <v>11</v>
      </c>
      <c r="E2" t="s">
        <v>12</v>
      </c>
      <c r="F2" t="s">
        <v>13</v>
      </c>
      <c r="G2">
        <v>2</v>
      </c>
      <c r="H2">
        <v>55000</v>
      </c>
      <c r="I2">
        <v>0.05</v>
      </c>
      <c r="J2" t="s">
        <v>14</v>
      </c>
      <c r="K2">
        <v>110000</v>
      </c>
    </row>
    <row r="3" spans="1:11" x14ac:dyDescent="0.35">
      <c r="A3">
        <v>1002</v>
      </c>
      <c r="B3" s="1">
        <v>45352</v>
      </c>
      <c r="C3" t="s">
        <v>15</v>
      </c>
      <c r="D3" t="s">
        <v>16</v>
      </c>
      <c r="E3" t="s">
        <v>17</v>
      </c>
      <c r="F3" t="s">
        <v>13</v>
      </c>
      <c r="G3">
        <v>5</v>
      </c>
      <c r="H3">
        <v>20000</v>
      </c>
      <c r="I3">
        <v>0.1</v>
      </c>
      <c r="J3" t="s">
        <v>18</v>
      </c>
      <c r="K3">
        <v>100000</v>
      </c>
    </row>
    <row r="4" spans="1:11" x14ac:dyDescent="0.35">
      <c r="A4">
        <v>1003</v>
      </c>
      <c r="B4" s="1">
        <v>45413</v>
      </c>
      <c r="C4" t="s">
        <v>19</v>
      </c>
      <c r="D4" t="s">
        <v>20</v>
      </c>
      <c r="E4" t="s">
        <v>21</v>
      </c>
      <c r="F4" t="s">
        <v>22</v>
      </c>
      <c r="G4">
        <v>10</v>
      </c>
      <c r="H4">
        <v>3000</v>
      </c>
      <c r="I4">
        <v>0</v>
      </c>
      <c r="J4" t="s">
        <v>23</v>
      </c>
      <c r="K4">
        <v>30000</v>
      </c>
    </row>
    <row r="5" spans="1:11" x14ac:dyDescent="0.35">
      <c r="A5">
        <v>1004</v>
      </c>
      <c r="B5" s="1">
        <v>45474</v>
      </c>
      <c r="C5" t="s">
        <v>24</v>
      </c>
      <c r="D5" t="s">
        <v>25</v>
      </c>
      <c r="E5" t="s">
        <v>26</v>
      </c>
      <c r="F5" t="s">
        <v>22</v>
      </c>
      <c r="G5">
        <v>3</v>
      </c>
      <c r="H5">
        <v>8000</v>
      </c>
      <c r="I5">
        <v>0.08</v>
      </c>
      <c r="J5" t="s">
        <v>14</v>
      </c>
      <c r="K5">
        <v>24000</v>
      </c>
    </row>
    <row r="6" spans="1:11" x14ac:dyDescent="0.35">
      <c r="A6">
        <v>1005</v>
      </c>
      <c r="B6" s="1">
        <v>45566</v>
      </c>
      <c r="C6" t="s">
        <v>15</v>
      </c>
      <c r="D6" t="s">
        <v>27</v>
      </c>
      <c r="E6" t="s">
        <v>12</v>
      </c>
      <c r="F6" t="s">
        <v>13</v>
      </c>
      <c r="G6">
        <v>1</v>
      </c>
      <c r="H6">
        <v>55000</v>
      </c>
      <c r="I6">
        <v>0.05</v>
      </c>
      <c r="J6" t="s">
        <v>18</v>
      </c>
      <c r="K6">
        <v>55000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42F1E-EC25-4AA2-A1F2-56E24F63455A}">
  <sheetPr codeName="Sheet2"/>
  <dimension ref="A3:I12"/>
  <sheetViews>
    <sheetView workbookViewId="0">
      <selection activeCell="I8" sqref="I8"/>
    </sheetView>
  </sheetViews>
  <sheetFormatPr defaultRowHeight="14.5" x14ac:dyDescent="0.35"/>
  <cols>
    <col min="1" max="1" width="12.453125" bestFit="1" customWidth="1"/>
    <col min="2" max="2" width="16.08984375" bestFit="1" customWidth="1"/>
    <col min="4" max="4" width="12.453125" bestFit="1" customWidth="1"/>
    <col min="5" max="5" width="16.08984375" bestFit="1" customWidth="1"/>
  </cols>
  <sheetData>
    <row r="3" spans="1:9" ht="31" x14ac:dyDescent="0.7">
      <c r="A3" s="6" t="s">
        <v>28</v>
      </c>
      <c r="B3" s="7"/>
      <c r="D3" s="10" t="s">
        <v>29</v>
      </c>
      <c r="F3" s="12" t="s">
        <v>30</v>
      </c>
      <c r="G3" s="13"/>
      <c r="H3" s="13"/>
      <c r="I3" s="13"/>
    </row>
    <row r="4" spans="1:9" x14ac:dyDescent="0.35">
      <c r="A4" s="8">
        <f>SUM(Sales_Data[Total Sales])</f>
        <v>319000</v>
      </c>
      <c r="B4" s="9"/>
      <c r="D4" s="11">
        <f>COUNTA(Sales_Data[Order_ID])</f>
        <v>5</v>
      </c>
      <c r="F4" s="11">
        <f>SUM(Sales_Data[Quantity])</f>
        <v>21</v>
      </c>
      <c r="G4" s="11"/>
      <c r="H4" s="11"/>
      <c r="I4" s="11"/>
    </row>
    <row r="7" spans="1:9" x14ac:dyDescent="0.35">
      <c r="A7" s="14" t="s">
        <v>31</v>
      </c>
      <c r="B7" t="s">
        <v>33</v>
      </c>
      <c r="D7" s="14" t="s">
        <v>31</v>
      </c>
      <c r="E7" t="s">
        <v>33</v>
      </c>
    </row>
    <row r="8" spans="1:9" x14ac:dyDescent="0.35">
      <c r="A8" s="15" t="s">
        <v>19</v>
      </c>
      <c r="B8" s="16">
        <v>30000</v>
      </c>
      <c r="D8" s="15" t="s">
        <v>23</v>
      </c>
      <c r="E8" s="16">
        <v>30000</v>
      </c>
    </row>
    <row r="9" spans="1:9" x14ac:dyDescent="0.35">
      <c r="A9" s="15" t="s">
        <v>10</v>
      </c>
      <c r="B9" s="16">
        <v>110000</v>
      </c>
      <c r="D9" s="15" t="s">
        <v>14</v>
      </c>
      <c r="E9" s="16">
        <v>134000</v>
      </c>
    </row>
    <row r="10" spans="1:9" x14ac:dyDescent="0.35">
      <c r="A10" s="15" t="s">
        <v>24</v>
      </c>
      <c r="B10" s="16">
        <v>24000</v>
      </c>
      <c r="D10" s="15" t="s">
        <v>18</v>
      </c>
      <c r="E10" s="16">
        <v>155000</v>
      </c>
    </row>
    <row r="11" spans="1:9" x14ac:dyDescent="0.35">
      <c r="A11" s="15" t="s">
        <v>15</v>
      </c>
      <c r="B11" s="16">
        <v>155000</v>
      </c>
      <c r="D11" s="15" t="s">
        <v>32</v>
      </c>
      <c r="E11" s="16">
        <v>319000</v>
      </c>
    </row>
    <row r="12" spans="1:9" x14ac:dyDescent="0.35">
      <c r="A12" s="15" t="s">
        <v>32</v>
      </c>
      <c r="B12" s="16">
        <v>319000</v>
      </c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fresh_Dashboard">
                <anchor moveWithCells="1" sizeWithCells="1">
                  <from>
                    <xdr:col>6</xdr:col>
                    <xdr:colOff>12700</xdr:colOff>
                    <xdr:row>7</xdr:row>
                    <xdr:rowOff>0</xdr:rowOff>
                  </from>
                  <to>
                    <xdr:col>6</xdr:col>
                    <xdr:colOff>596900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6F537-7FFE-4883-A8DF-DDFA21EFF1BD}">
  <sheetPr codeName="Sheet3"/>
  <dimension ref="A1:J6"/>
  <sheetViews>
    <sheetView workbookViewId="0">
      <selection sqref="A1:J6"/>
    </sheetView>
  </sheetViews>
  <sheetFormatPr defaultRowHeight="14.5" x14ac:dyDescent="0.35"/>
  <cols>
    <col min="1" max="1" width="10.08984375" customWidth="1"/>
    <col min="2" max="2" width="12.1796875" customWidth="1"/>
    <col min="4" max="4" width="11.453125" customWidth="1"/>
    <col min="5" max="5" width="9.36328125" customWidth="1"/>
    <col min="6" max="6" width="10.1796875" customWidth="1"/>
    <col min="7" max="7" width="10" customWidth="1"/>
    <col min="8" max="8" width="11.453125" customWidth="1"/>
    <col min="9" max="9" width="10.36328125" customWidth="1"/>
    <col min="10" max="10" width="15.54296875" customWidth="1"/>
  </cols>
  <sheetData>
    <row r="1" spans="1:10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35">
      <c r="A2" s="3">
        <v>1001</v>
      </c>
      <c r="B2" s="4">
        <v>45292</v>
      </c>
      <c r="C2" s="3" t="s">
        <v>10</v>
      </c>
      <c r="D2" s="3" t="s">
        <v>11</v>
      </c>
      <c r="E2" s="3" t="s">
        <v>12</v>
      </c>
      <c r="F2" s="3" t="s">
        <v>13</v>
      </c>
      <c r="G2" s="3">
        <v>2</v>
      </c>
      <c r="H2" s="3">
        <v>55000</v>
      </c>
      <c r="I2" s="5">
        <v>0.05</v>
      </c>
      <c r="J2" s="3" t="s">
        <v>14</v>
      </c>
    </row>
    <row r="3" spans="1:10" x14ac:dyDescent="0.35">
      <c r="A3" s="3">
        <v>1002</v>
      </c>
      <c r="B3" s="4">
        <v>45352</v>
      </c>
      <c r="C3" s="3" t="s">
        <v>15</v>
      </c>
      <c r="D3" s="3" t="s">
        <v>16</v>
      </c>
      <c r="E3" s="3" t="s">
        <v>17</v>
      </c>
      <c r="F3" s="3" t="s">
        <v>13</v>
      </c>
      <c r="G3" s="3">
        <v>5</v>
      </c>
      <c r="H3" s="3">
        <v>20000</v>
      </c>
      <c r="I3" s="5">
        <v>0.1</v>
      </c>
      <c r="J3" s="3" t="s">
        <v>18</v>
      </c>
    </row>
    <row r="4" spans="1:10" x14ac:dyDescent="0.35">
      <c r="A4" s="3">
        <v>1003</v>
      </c>
      <c r="B4" s="4">
        <v>45413</v>
      </c>
      <c r="C4" s="3" t="s">
        <v>19</v>
      </c>
      <c r="D4" s="3" t="s">
        <v>20</v>
      </c>
      <c r="E4" s="3" t="s">
        <v>21</v>
      </c>
      <c r="F4" s="3" t="s">
        <v>22</v>
      </c>
      <c r="G4" s="3">
        <v>10</v>
      </c>
      <c r="H4" s="3">
        <v>3000</v>
      </c>
      <c r="I4" s="5">
        <v>0</v>
      </c>
      <c r="J4" s="3" t="s">
        <v>23</v>
      </c>
    </row>
    <row r="5" spans="1:10" x14ac:dyDescent="0.35">
      <c r="A5" s="3">
        <v>1004</v>
      </c>
      <c r="B5" s="4">
        <v>45474</v>
      </c>
      <c r="C5" s="3" t="s">
        <v>24</v>
      </c>
      <c r="D5" s="3" t="s">
        <v>25</v>
      </c>
      <c r="E5" s="3" t="s">
        <v>26</v>
      </c>
      <c r="F5" s="3" t="s">
        <v>22</v>
      </c>
      <c r="G5" s="3">
        <v>3</v>
      </c>
      <c r="H5" s="3">
        <v>8000</v>
      </c>
      <c r="I5" s="5">
        <v>0.08</v>
      </c>
      <c r="J5" s="3" t="s">
        <v>14</v>
      </c>
    </row>
    <row r="6" spans="1:10" x14ac:dyDescent="0.35">
      <c r="A6" s="3">
        <v>1005</v>
      </c>
      <c r="B6" s="4">
        <v>45566</v>
      </c>
      <c r="C6" s="3" t="s">
        <v>15</v>
      </c>
      <c r="D6" s="3" t="s">
        <v>27</v>
      </c>
      <c r="E6" s="3" t="s">
        <v>12</v>
      </c>
      <c r="F6" s="3" t="s">
        <v>13</v>
      </c>
      <c r="G6" s="3">
        <v>1</v>
      </c>
      <c r="H6" s="3">
        <v>55000</v>
      </c>
      <c r="I6" s="5">
        <v>0.05</v>
      </c>
      <c r="J6" s="3" t="s">
        <v>18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423E10-1898-45D3-82B2-A7CB09D391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Clean_Data</vt:lpstr>
      <vt:lpstr>KPI</vt:lpstr>
      <vt:lpstr>Sales_data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Sakshi Tripathi</dc:creator>
  <cp:lastModifiedBy>Sakshi Tripathi</cp:lastModifiedBy>
  <dcterms:created xsi:type="dcterms:W3CDTF">2026-03-01T19:55:40Z</dcterms:created>
  <dcterms:modified xsi:type="dcterms:W3CDTF">2026-03-20T10:17:13Z</dcterms:modified>
</cp:coreProperties>
</file>